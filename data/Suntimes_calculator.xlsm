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hana\Documents\GitHub\helsinki-nyc-sun\"/>
    </mc:Choice>
  </mc:AlternateContent>
  <xr:revisionPtr revIDLastSave="0" documentId="13_ncr:1_{F1A4D83F-0166-4948-A550-9EF84BD431A3}" xr6:coauthVersionLast="47" xr6:coauthVersionMax="47" xr10:uidLastSave="{00000000-0000-0000-0000-000000000000}"/>
  <bookViews>
    <workbookView xWindow="930" yWindow="405" windowWidth="10710" windowHeight="14625" xr2:uid="{D714ACDB-02F2-4170-B1DC-80A9206B20FB}"/>
  </bookViews>
  <sheets>
    <sheet name="suntimes_combined" sheetId="2" r:id="rId1"/>
    <sheet name="Comparison" sheetId="10" r:id="rId2"/>
    <sheet name="Helsinki" sheetId="8" r:id="rId3"/>
    <sheet name="New York" sheetId="9" r:id="rId4"/>
  </sheets>
  <functionGroups builtInGroupCount="19"/>
  <definedNames>
    <definedName name="ExternalData_1" localSheetId="0" hidden="1">suntimes_combined!$A$1:$D$22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 a="1"/>
  <c r="E14" i="2" a="1"/>
  <c r="E13" i="2" a="1"/>
  <c r="F2" i="2" a="1"/>
  <c r="E15" i="2" a="1"/>
  <c r="E9" i="2" a="1"/>
  <c r="F5" i="2" a="1"/>
  <c r="F9" i="2" a="1"/>
  <c r="F13" i="2" a="1"/>
  <c r="F17" i="2" a="1"/>
  <c r="F21" i="2" a="1"/>
  <c r="E20" i="2" a="1"/>
  <c r="E8" i="2" a="1"/>
  <c r="E10" i="2" a="1"/>
  <c r="F7" i="2" a="1"/>
  <c r="F15" i="2" a="1"/>
  <c r="E6" i="2" a="1"/>
  <c r="E16" i="2" a="1"/>
  <c r="E18" i="2" a="1"/>
  <c r="F8" i="2" a="1"/>
  <c r="F16" i="2" a="1"/>
  <c r="E11" i="2" a="1"/>
  <c r="E22" i="2" a="1"/>
  <c r="E21" i="2" a="1"/>
  <c r="E17" i="2" a="1"/>
  <c r="E2" i="2" a="1"/>
  <c r="E4" i="2" a="1"/>
  <c r="F6" i="2" a="1"/>
  <c r="F10" i="2" a="1"/>
  <c r="F14" i="2" a="1"/>
  <c r="F18" i="2" a="1"/>
  <c r="E19" i="2" a="1"/>
  <c r="E12" i="2" a="1"/>
  <c r="F3" i="2" a="1"/>
  <c r="F11" i="2" a="1"/>
  <c r="F19" i="2" a="1"/>
  <c r="E5" i="2" a="1"/>
  <c r="E7" i="2" a="1"/>
  <c r="F4" i="2" a="1"/>
  <c r="F12" i="2" a="1"/>
  <c r="F20" i="2" a="1"/>
  <c r="F20" i="2" l="1"/>
  <c r="F12" i="2"/>
  <c r="F4" i="2"/>
  <c r="E7" i="2"/>
  <c r="E5" i="2"/>
  <c r="G5" i="2" s="1"/>
  <c r="I5" i="2" s="1"/>
  <c r="F19" i="2"/>
  <c r="F11" i="2"/>
  <c r="F3" i="2"/>
  <c r="E12" i="2"/>
  <c r="E19" i="2"/>
  <c r="G19" i="2" s="1"/>
  <c r="I19" i="2" s="1"/>
  <c r="F18" i="2"/>
  <c r="F14" i="2"/>
  <c r="F10" i="2"/>
  <c r="F6" i="2"/>
  <c r="E4" i="2"/>
  <c r="G4" i="2" s="1"/>
  <c r="I4" i="2" s="1"/>
  <c r="E2" i="2"/>
  <c r="E17" i="2"/>
  <c r="G17" i="2" s="1"/>
  <c r="I17" i="2" s="1"/>
  <c r="E21" i="2"/>
  <c r="E22" i="2"/>
  <c r="G22" i="2" s="1"/>
  <c r="I22" i="2" s="1"/>
  <c r="E11" i="2"/>
  <c r="G11" i="2" s="1"/>
  <c r="I11" i="2" s="1"/>
  <c r="F16" i="2"/>
  <c r="F8" i="2"/>
  <c r="E18" i="2"/>
  <c r="G18" i="2" s="1"/>
  <c r="I18" i="2" s="1"/>
  <c r="E16" i="2"/>
  <c r="E6" i="2"/>
  <c r="G6" i="2" s="1"/>
  <c r="I6" i="2" s="1"/>
  <c r="F15" i="2"/>
  <c r="F7" i="2"/>
  <c r="E10" i="2"/>
  <c r="E8" i="2"/>
  <c r="G8" i="2" s="1"/>
  <c r="I8" i="2" s="1"/>
  <c r="E20" i="2"/>
  <c r="F21" i="2"/>
  <c r="F17" i="2"/>
  <c r="F13" i="2"/>
  <c r="F9" i="2"/>
  <c r="F5" i="2"/>
  <c r="E9" i="2"/>
  <c r="G9" i="2" s="1"/>
  <c r="I9" i="2" s="1"/>
  <c r="E15" i="2"/>
  <c r="F2" i="2"/>
  <c r="E13" i="2"/>
  <c r="E14" i="2"/>
  <c r="G14" i="2" s="1"/>
  <c r="I14" i="2" s="1"/>
  <c r="E3" i="2"/>
  <c r="H4" i="2" a="1"/>
  <c r="H11" i="2" a="1"/>
  <c r="H6" i="2" a="1"/>
  <c r="H8" i="2" a="1"/>
  <c r="H15" i="2" a="1"/>
  <c r="H9" i="2" a="1"/>
  <c r="H2" i="2" a="1"/>
  <c r="H3" i="2" a="1"/>
  <c r="H18" i="2" a="1"/>
  <c r="H7" i="2" a="1"/>
  <c r="H21" i="2" a="1"/>
  <c r="H5" i="2" a="1"/>
  <c r="H20" i="2" a="1"/>
  <c r="H14" i="2" a="1"/>
  <c r="H17" i="2" a="1"/>
  <c r="H12" i="2" a="1"/>
  <c r="H19" i="2" a="1"/>
  <c r="H10" i="2" a="1"/>
  <c r="H16" i="2" a="1"/>
  <c r="H13" i="2" a="1"/>
  <c r="H22" i="2" a="1"/>
  <c r="H13" i="2" l="1"/>
  <c r="H16" i="2"/>
  <c r="H10" i="2"/>
  <c r="H19" i="2"/>
  <c r="H12" i="2"/>
  <c r="H17" i="2"/>
  <c r="H14" i="2"/>
  <c r="H20" i="2"/>
  <c r="H5" i="2"/>
  <c r="H21" i="2"/>
  <c r="H7" i="2"/>
  <c r="H18" i="2"/>
  <c r="H3" i="2"/>
  <c r="H2" i="2"/>
  <c r="H9" i="2"/>
  <c r="H15" i="2"/>
  <c r="H8" i="2"/>
  <c r="H6" i="2"/>
  <c r="H22" i="2"/>
  <c r="H11" i="2"/>
  <c r="H4" i="2"/>
  <c r="G3" i="2"/>
  <c r="I3" i="2" s="1"/>
  <c r="G15" i="2"/>
  <c r="I15" i="2" s="1"/>
  <c r="G10" i="2"/>
  <c r="I10" i="2" s="1"/>
  <c r="G16" i="2"/>
  <c r="I16" i="2"/>
  <c r="G2" i="2"/>
  <c r="I2" i="2"/>
  <c r="G12" i="2"/>
  <c r="I12" i="2" s="1"/>
  <c r="G13" i="2"/>
  <c r="I13" i="2" s="1"/>
  <c r="G7" i="2"/>
  <c r="I7" i="2" s="1"/>
  <c r="G20" i="2"/>
  <c r="I20" i="2" s="1"/>
  <c r="G21" i="2"/>
  <c r="I2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5ED343B-3D07-4BA2-80B0-E2FA87FF9F49}" keepAlive="1" name="Query - suntimes_combined" description="Connection to the 'suntimes_combined' query in the workbook." type="5" refreshedVersion="8" background="1" saveData="1">
    <dbPr connection="Provider=Microsoft.Mashup.OleDb.1;Data Source=$Workbook$;Location=suntimes_combined;Extended Properties=&quot;&quot;" command="SELECT * FROM [suntimes_combined]"/>
  </connection>
  <connection id="2" xr16:uid="{22E50F03-4510-4D6F-8E1A-9CDFD93806EC}" keepAlive="1" name="Query - suntimes_combined (2)" description="Connection to the 'suntimes_combined (2)' query in the workbook." type="5" refreshedVersion="8" background="1" saveData="1">
    <dbPr connection="Provider=Microsoft.Mashup.OleDb.1;Data Source=$Workbook$;Location=&quot;suntimes_combined (2)&quot;;Extended Properties=&quot;&quot;" command="SELECT * FROM [suntimes_combined (2)]"/>
  </connection>
  <connection id="3" xr16:uid="{F77995AC-8B3D-41E3-8F61-9501E904FA7F}" keepAlive="1" name="Query - suntimes_combined (3)" description="Connection to the 'suntimes_combined (3)' query in the workbook." type="5" refreshedVersion="8" background="1" saveData="1">
    <dbPr connection="Provider=Microsoft.Mashup.OleDb.1;Data Source=$Workbook$;Location=&quot;suntimes_combined (3)&quot;;Extended Properties=&quot;&quot;" command="SELECT * FROM [suntimes_combined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<sst xmlns="http://schemas.openxmlformats.org/spreadsheetml/2006/main" count="42" uniqueCount="16">
  <si>
    <t>Column1</t>
  </si>
  <si>
    <t>sunrise</t>
  </si>
  <si>
    <t>sunset</t>
  </si>
  <si>
    <t>city</t>
  </si>
  <si>
    <t>Helsinki</t>
  </si>
  <si>
    <t>Singapore</t>
  </si>
  <si>
    <t>time</t>
  </si>
  <si>
    <t>date</t>
  </si>
  <si>
    <t>day</t>
  </si>
  <si>
    <t>evening</t>
  </si>
  <si>
    <t>night</t>
  </si>
  <si>
    <t>check</t>
  </si>
  <si>
    <t>NYC</t>
  </si>
  <si>
    <t xml:space="preserve">	8:32:00 PM</t>
  </si>
  <si>
    <t>New York</t>
  </si>
  <si>
    <t xml:space="preserve"> 15 9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</si>
</sst>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409]h:mm:ss\ AM/PM;@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164" fontId="0" fillId="0" borderId="0" xfId="0" applyNumberFormat="1"/>
    <xf numFmtId="14" fontId="0" fillId="2" borderId="1" xfId="0" applyNumberFormat="1" applyFill="1" applyBorder="1"/>
    <xf numFmtId="14" fontId="0" fillId="0" borderId="1" xfId="0" applyNumberFormat="1" applyBorder="1"/>
    <xf numFmtId="165" fontId="0" fillId="0" borderId="0" xfId="0" applyNumberFormat="1"/>
    <xf numFmtId="165" fontId="2" fillId="0" borderId="0" xfId="0" applyNumberFormat="1" applyFont="1"/>
    <xf numFmtId="165" fontId="3" fillId="0" borderId="0" xfId="0" applyNumberFormat="1" applyFont="1"/>
    <xf numFmtId="19" fontId="3" fillId="0" borderId="0" xfId="0" applyNumberFormat="1" applyFont="1"/>
    <xf numFmtId="165" fontId="0" fillId="0" borderId="0" xfId="0" applyNumberFormat="1" applyAlignment="1">
      <alignment horizontal="right" vertical="top"/>
    </xf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409]h:mm:ss\ AM/PM;@"/>
    </dxf>
    <dxf>
      <numFmt numFmtId="164" formatCode="[$-F400]h:mm:ss\ AM/PM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9FBEE2F-D8F7-4C9E-8854-3CE5389E922B}" autoFormatId="16" applyNumberFormats="0" applyBorderFormats="0" applyFontFormats="0" applyPatternFormats="0" applyAlignmentFormats="0" applyWidthHeightFormats="0">
  <queryTableRefresh nextId="15" unboundColumnsRight="5">
    <queryTableFields count="9">
      <queryTableField id="1" name="Column1" tableColumnId="1"/>
      <queryTableField id="2" name="sunrise" tableColumnId="2"/>
      <queryTableField id="3" name="sunset" tableColumnId="3"/>
      <queryTableField id="4" name="city" tableColumnId="4"/>
      <queryTableField id="11" dataBound="0" tableColumnId="12"/>
      <queryTableField id="5" dataBound="0" tableColumnId="5"/>
      <queryTableField id="12" dataBound="0" tableColumnId="13"/>
      <queryTableField id="7" dataBound="0" tableColumnId="7"/>
      <queryTableField id="14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524936-2F0D-4679-ACB3-FD4C5414C6F8}" name="suntimes_combined" displayName="suntimes_combined" ref="A1:I22" tableType="queryTable" totalsRowShown="0">
  <autoFilter ref="A1:I22" xr:uid="{40524936-2F0D-4679-ACB3-FD4C5414C6F8}"/>
  <tableColumns count="9">
    <tableColumn id="1" xr3:uid="{85CBA4E2-5814-4DD7-9AA9-25FD683661D7}" uniqueName="1" name="Column1" queryTableFieldId="1" dataDxfId="8"/>
    <tableColumn id="2" xr3:uid="{1EA92B05-C3B2-4751-A876-F2411B7B4794}" uniqueName="2" name="sunrise" queryTableFieldId="2" dataDxfId="7"/>
    <tableColumn id="3" xr3:uid="{44BFDF62-8EB0-44F3-B7FF-1785A9BB3157}" uniqueName="3" name="sunset" queryTableFieldId="3" dataDxfId="6"/>
    <tableColumn id="4" xr3:uid="{2F5A023C-C768-435F-8E62-3490ECFF2157}" uniqueName="4" name="city" queryTableFieldId="4" dataDxfId="5"/>
    <tableColumn id="12" xr3:uid="{6BE00D32-27F8-45C8-9644-3A31F9EAF8E9}" uniqueName="12" name="night" queryTableFieldId="11" dataDxfId="4">
      <calculatedColumnFormula array="1">HoursBetweenMidnightAndSunrise(B2)</calculatedColumnFormula>
    </tableColumn>
    <tableColumn id="5" xr3:uid="{9B57DDBD-50E9-4008-9DE3-4DC46BF94BBE}" uniqueName="5" name="day" queryTableFieldId="5" dataDxfId="3">
      <calculatedColumnFormula array="1">DaylightLength(B2,C2)*24</calculatedColumnFormula>
    </tableColumn>
    <tableColumn id="13" xr3:uid="{B6181352-60B4-4637-BF30-230AA29F1B18}" uniqueName="13" name="evening" queryTableFieldId="12" dataDxfId="2">
      <calculatedColumnFormula>24-E2-F2</calculatedColumnFormula>
    </tableColumn>
    <tableColumn id="7" xr3:uid="{FD7FC062-B556-4BC3-9A96-8EFB896E0856}" uniqueName="7" name="time" queryTableFieldId="7" dataDxfId="1">
      <calculatedColumnFormula array="1">ConvertDecimalToTime(F2)</calculatedColumnFormula>
    </tableColumn>
    <tableColumn id="15" xr3:uid="{C91E4AEF-95A3-4D37-833F-17C66E6F3A78}" uniqueName="15" name="check" queryTableFieldId="14" dataDxfId="0">
      <calculatedColumnFormula>E2+F2+G2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1D818-ECD4-4C35-9668-518E55A227EF}">
  <sheetPr codeName="Sheet2"/>
  <dimension ref="A1:I22"/>
  <sheetViews>
    <sheetView tabSelected="1" workbookViewId="0">
      <selection activeCell="F22" sqref="F22"/>
    </sheetView>
  </sheetViews>
  <sheetFormatPr defaultRowHeight="15" x14ac:dyDescent="0.25"/>
  <cols>
    <col min="1" max="1" width="11.140625" bestFit="1" customWidth="1"/>
    <col min="2" max="2" width="14.42578125" style="2" customWidth="1"/>
    <col min="3" max="3" width="12.7109375" style="5" bestFit="1" customWidth="1"/>
    <col min="4" max="4" width="9.85546875" bestFit="1" customWidth="1"/>
    <col min="5" max="5" width="9.85546875" customWidth="1"/>
    <col min="6" max="7" width="13.7109375" customWidth="1"/>
  </cols>
  <sheetData>
    <row r="1" spans="1:9" x14ac:dyDescent="0.25">
      <c r="A1" t="s">
        <v>0</v>
      </c>
      <c r="B1" s="2" t="s">
        <v>1</v>
      </c>
      <c r="C1" s="5" t="s">
        <v>2</v>
      </c>
      <c r="D1" t="s">
        <v>3</v>
      </c>
      <c r="E1" t="s">
        <v>10</v>
      </c>
      <c r="F1" t="s">
        <v>8</v>
      </c>
      <c r="G1" t="s">
        <v>9</v>
      </c>
      <c r="H1" t="s">
        <v>6</v>
      </c>
      <c r="I1" t="s">
        <v>11</v>
      </c>
    </row>
    <row r="2" spans="1:9" x14ac:dyDescent="0.25">
      <c r="A2" s="1">
        <v>44916</v>
      </c>
      <c r="B2" s="2">
        <v>0.3888888888888889</v>
      </c>
      <c r="C2" s="5">
        <v>0.63611111111111118</v>
      </c>
      <c r="D2" t="s">
        <v>4</v>
      </c>
      <c r="E2" cm="1">
        <f t="array" ref="E2">HoursBetweenMidnightAndSunrise(B2)</f>
        <v>9.3333333333333339</v>
      </c>
      <c r="F2" cm="1">
        <f t="array" ref="F2">DaylightLength(B2,C2)*24</f>
        <v>5.9333333333333353</v>
      </c>
      <c r="G2">
        <f t="shared" ref="G2:G22" si="0">24-E2-F2</f>
        <v>8.7333333333333307</v>
      </c>
      <c r="H2" t="str" cm="1">
        <f t="array" ref="H2">ConvertDecimalToTime(F2)</f>
        <v>05:56</v>
      </c>
      <c r="I2">
        <f t="shared" ref="I2:I22" si="1">E2+F2+G2</f>
        <v>24</v>
      </c>
    </row>
    <row r="3" spans="1:9" x14ac:dyDescent="0.25">
      <c r="A3" s="1">
        <v>44947</v>
      </c>
      <c r="B3" s="2">
        <v>0.37222222222222223</v>
      </c>
      <c r="C3" s="5">
        <v>0.67083333333333328</v>
      </c>
      <c r="D3" t="s">
        <v>4</v>
      </c>
      <c r="E3" cm="1">
        <f t="array" ref="E3">HoursBetweenMidnightAndSunrise(B3)</f>
        <v>8.9333333333333336</v>
      </c>
      <c r="F3" cm="1">
        <f t="array" ref="F3">DaylightLength(B3,C3)*24</f>
        <v>7.1666666666666652</v>
      </c>
      <c r="G3">
        <f t="shared" si="0"/>
        <v>7.9000000000000012</v>
      </c>
      <c r="H3" t="str" cm="1">
        <f t="array" ref="H3">ConvertDecimalToTime(F3)</f>
        <v>07:10</v>
      </c>
      <c r="I3">
        <f t="shared" si="1"/>
        <v>24</v>
      </c>
    </row>
    <row r="4" spans="1:9" x14ac:dyDescent="0.25">
      <c r="A4" s="1">
        <v>44978</v>
      </c>
      <c r="B4" s="2">
        <v>0.31944444444444442</v>
      </c>
      <c r="C4" s="5">
        <v>0.7270833333333333</v>
      </c>
      <c r="D4" t="s">
        <v>4</v>
      </c>
      <c r="E4" cm="1">
        <f t="array" ref="E4">HoursBetweenMidnightAndSunrise(B4)</f>
        <v>7.6666666666666661</v>
      </c>
      <c r="F4" cm="1">
        <f t="array" ref="F4">DaylightLength(B4,C4)*24</f>
        <v>9.7833333333333332</v>
      </c>
      <c r="G4">
        <f t="shared" si="0"/>
        <v>6.5500000000000025</v>
      </c>
      <c r="H4" t="str" cm="1">
        <f t="array" ref="H4">ConvertDecimalToTime(F4)</f>
        <v>09:47</v>
      </c>
      <c r="I4">
        <f t="shared" si="1"/>
        <v>24</v>
      </c>
    </row>
    <row r="5" spans="1:9" x14ac:dyDescent="0.25">
      <c r="A5" s="1">
        <v>45005</v>
      </c>
      <c r="B5" s="2">
        <v>0.2638888888888889</v>
      </c>
      <c r="C5" s="5">
        <v>0.77430555555555558</v>
      </c>
      <c r="D5" t="s">
        <v>4</v>
      </c>
      <c r="E5" cm="1">
        <f t="array" ref="E5">HoursBetweenMidnightAndSunrise(B5)</f>
        <v>6.3333333333333339</v>
      </c>
      <c r="F5" cm="1">
        <f t="array" ref="F5">DaylightLength(B5,C5)*24</f>
        <v>12.250000000000002</v>
      </c>
      <c r="G5">
        <f t="shared" si="0"/>
        <v>5.4166666666666625</v>
      </c>
      <c r="H5" t="str" cm="1">
        <f t="array" ref="H5">ConvertDecimalToTime(F5)</f>
        <v>12:15</v>
      </c>
      <c r="I5">
        <f t="shared" si="1"/>
        <v>24</v>
      </c>
    </row>
    <row r="6" spans="1:9" x14ac:dyDescent="0.25">
      <c r="A6" s="1">
        <v>45037</v>
      </c>
      <c r="B6" s="2">
        <v>0.23819444444444443</v>
      </c>
      <c r="C6" s="5">
        <v>0.87083333333333335</v>
      </c>
      <c r="D6" t="s">
        <v>4</v>
      </c>
      <c r="E6" cm="1">
        <f t="array" ref="E6">HoursBetweenMidnightAndSunrise(B6)</f>
        <v>5.7166666666666668</v>
      </c>
      <c r="F6" cm="1">
        <f t="array" ref="F6">DaylightLength(B6,C6)*24</f>
        <v>15.183333333333335</v>
      </c>
      <c r="G6">
        <f t="shared" si="0"/>
        <v>3.0999999999999961</v>
      </c>
      <c r="H6" t="str" cm="1">
        <f t="array" ref="H6">ConvertDecimalToTime(F6)</f>
        <v>15:11</v>
      </c>
      <c r="I6">
        <f t="shared" si="1"/>
        <v>24</v>
      </c>
    </row>
    <row r="7" spans="1:9" x14ac:dyDescent="0.25">
      <c r="A7" s="1">
        <v>45067</v>
      </c>
      <c r="B7" s="2">
        <v>0.18333333333333332</v>
      </c>
      <c r="C7" s="5">
        <v>0.92222222222222228</v>
      </c>
      <c r="D7" t="s">
        <v>4</v>
      </c>
      <c r="E7" cm="1">
        <f t="array" ref="E7">HoursBetweenMidnightAndSunrise(B7)</f>
        <v>4.3999999999999995</v>
      </c>
      <c r="F7" cm="1">
        <f t="array" ref="F7">DaylightLength(B7,C7)*24</f>
        <v>17.733333333333334</v>
      </c>
      <c r="G7">
        <f t="shared" si="0"/>
        <v>1.8666666666666671</v>
      </c>
      <c r="H7" t="str" cm="1">
        <f t="array" ref="H7">ConvertDecimalToTime(F7)</f>
        <v>17:44</v>
      </c>
      <c r="I7">
        <f t="shared" si="1"/>
        <v>24</v>
      </c>
    </row>
    <row r="8" spans="1:9" x14ac:dyDescent="0.25">
      <c r="A8" s="1">
        <v>45098</v>
      </c>
      <c r="B8" s="2">
        <v>0.15972222222222221</v>
      </c>
      <c r="C8" s="5">
        <v>0.95347222222222228</v>
      </c>
      <c r="D8" t="s">
        <v>4</v>
      </c>
      <c r="E8" cm="1">
        <f t="array" ref="E8">HoursBetweenMidnightAndSunrise(B8)</f>
        <v>3.833333333333333</v>
      </c>
      <c r="F8" cm="1">
        <f t="array" ref="F8">DaylightLength(B8,C8)*24</f>
        <v>19.05</v>
      </c>
      <c r="G8">
        <f t="shared" si="0"/>
        <v>1.1166666666666671</v>
      </c>
      <c r="H8" t="str" cm="1">
        <f t="array" ref="H8">ConvertDecimalToTime(F8)</f>
        <v>19:03</v>
      </c>
      <c r="I8">
        <f t="shared" si="1"/>
        <v>24</v>
      </c>
    </row>
    <row r="9" spans="1:9" x14ac:dyDescent="0.25">
      <c r="A9" s="1">
        <v>44916</v>
      </c>
      <c r="B9" s="2">
        <v>0.29166666666666669</v>
      </c>
      <c r="C9" s="5">
        <v>0.79513888888888884</v>
      </c>
      <c r="D9" t="s">
        <v>5</v>
      </c>
      <c r="E9" cm="1">
        <f t="array" ref="E9">HoursBetweenMidnightAndSunrise(B9)</f>
        <v>7</v>
      </c>
      <c r="F9" cm="1">
        <f t="array" ref="F9">DaylightLength(B9,C9)*24</f>
        <v>12.08333333333333</v>
      </c>
      <c r="G9">
        <f t="shared" si="0"/>
        <v>4.9166666666666696</v>
      </c>
      <c r="H9" t="str" cm="1">
        <f t="array" ref="H9">ConvertDecimalToTime(F9)</f>
        <v>12:05</v>
      </c>
      <c r="I9">
        <f t="shared" si="1"/>
        <v>24</v>
      </c>
    </row>
    <row r="10" spans="1:9" x14ac:dyDescent="0.25">
      <c r="A10" s="1">
        <v>44947</v>
      </c>
      <c r="B10" s="2">
        <v>0.30069444444444443</v>
      </c>
      <c r="C10" s="5">
        <v>0.8041666666666667</v>
      </c>
      <c r="D10" t="s">
        <v>5</v>
      </c>
      <c r="E10" cm="1">
        <f t="array" ref="E10">HoursBetweenMidnightAndSunrise(B10)</f>
        <v>7.2166666666666668</v>
      </c>
      <c r="F10" cm="1">
        <f t="array" ref="F10">DaylightLength(B10,C10)*24</f>
        <v>12.083333333333336</v>
      </c>
      <c r="G10">
        <f t="shared" si="0"/>
        <v>4.6999999999999957</v>
      </c>
      <c r="H10" t="str" cm="1">
        <f t="array" ref="H10">ConvertDecimalToTime(F10)</f>
        <v>12:05</v>
      </c>
      <c r="I10">
        <f t="shared" si="1"/>
        <v>24</v>
      </c>
    </row>
    <row r="11" spans="1:9" x14ac:dyDescent="0.25">
      <c r="A11" s="1">
        <v>44978</v>
      </c>
      <c r="B11" s="2">
        <v>0.30138888888888887</v>
      </c>
      <c r="C11" s="5">
        <v>0.80625000000000002</v>
      </c>
      <c r="D11" t="s">
        <v>5</v>
      </c>
      <c r="E11" cm="1">
        <f t="array" ref="E11">HoursBetweenMidnightAndSunrise(B11)</f>
        <v>7.2333333333333325</v>
      </c>
      <c r="F11" cm="1">
        <f t="array" ref="F11">DaylightLength(B11,C11)*24</f>
        <v>12.116666666666669</v>
      </c>
      <c r="G11">
        <f t="shared" si="0"/>
        <v>4.6499999999999968</v>
      </c>
      <c r="H11" t="str" cm="1">
        <f t="array" ref="H11">ConvertDecimalToTime(F11)</f>
        <v>12:07</v>
      </c>
      <c r="I11">
        <f t="shared" si="1"/>
        <v>24</v>
      </c>
    </row>
    <row r="12" spans="1:9" x14ac:dyDescent="0.25">
      <c r="A12" s="1">
        <v>45005</v>
      </c>
      <c r="B12" s="2">
        <v>0.29652777777777778</v>
      </c>
      <c r="C12" s="5">
        <v>0.80277777777777781</v>
      </c>
      <c r="D12" t="s">
        <v>5</v>
      </c>
      <c r="E12" cm="1">
        <f t="array" ref="E12">HoursBetweenMidnightAndSunrise(B12)</f>
        <v>7.1166666666666671</v>
      </c>
      <c r="F12" cm="1">
        <f t="array" ref="F12">DaylightLength(B12,C12)*24</f>
        <v>12.150000000000002</v>
      </c>
      <c r="G12">
        <f t="shared" si="0"/>
        <v>4.7333333333333307</v>
      </c>
      <c r="H12" t="str" cm="1">
        <f t="array" ref="H12">ConvertDecimalToTime(F12)</f>
        <v>12:09</v>
      </c>
      <c r="I12">
        <f t="shared" si="1"/>
        <v>24</v>
      </c>
    </row>
    <row r="13" spans="1:9" x14ac:dyDescent="0.25">
      <c r="A13" s="1">
        <v>45037</v>
      </c>
      <c r="B13" s="2">
        <v>0.28958333333333336</v>
      </c>
      <c r="C13" s="5">
        <v>0.79791666666666672</v>
      </c>
      <c r="D13" t="s">
        <v>5</v>
      </c>
      <c r="E13" cm="1">
        <f t="array" ref="E13">HoursBetweenMidnightAndSunrise(B13)</f>
        <v>6.9500000000000011</v>
      </c>
      <c r="F13" cm="1">
        <f t="array" ref="F13">DaylightLength(B13,C13)*24</f>
        <v>12.2</v>
      </c>
      <c r="G13">
        <f t="shared" si="0"/>
        <v>4.8499999999999979</v>
      </c>
      <c r="H13" t="str" cm="1">
        <f t="array" ref="H13">ConvertDecimalToTime(F13)</f>
        <v>12:12</v>
      </c>
      <c r="I13">
        <f t="shared" si="1"/>
        <v>23.999999999999996</v>
      </c>
    </row>
    <row r="14" spans="1:9" x14ac:dyDescent="0.25">
      <c r="A14" s="1">
        <v>45067</v>
      </c>
      <c r="B14" s="2">
        <v>0.28749999999999998</v>
      </c>
      <c r="C14" s="5">
        <v>0.79652777777777772</v>
      </c>
      <c r="D14" t="s">
        <v>5</v>
      </c>
      <c r="E14" cm="1">
        <f t="array" ref="E14">HoursBetweenMidnightAndSunrise(B14)</f>
        <v>6.8999999999999995</v>
      </c>
      <c r="F14" cm="1">
        <f t="array" ref="F14">DaylightLength(B14,C14)*24</f>
        <v>12.216666666666665</v>
      </c>
      <c r="G14">
        <f t="shared" si="0"/>
        <v>4.8833333333333364</v>
      </c>
      <c r="H14" t="str" cm="1">
        <f t="array" ref="H14">ConvertDecimalToTime(F14)</f>
        <v>12:13</v>
      </c>
      <c r="I14">
        <f t="shared" si="1"/>
        <v>24</v>
      </c>
    </row>
    <row r="15" spans="1:9" x14ac:dyDescent="0.25">
      <c r="A15" s="1">
        <v>45098</v>
      </c>
      <c r="B15" s="2">
        <v>0.29097222222222224</v>
      </c>
      <c r="C15" s="5">
        <v>0.80069444444444449</v>
      </c>
      <c r="D15" t="s">
        <v>5</v>
      </c>
      <c r="E15" cm="1">
        <f t="array" ref="E15">HoursBetweenMidnightAndSunrise(B15)</f>
        <v>6.9833333333333343</v>
      </c>
      <c r="F15" cm="1">
        <f t="array" ref="F15">DaylightLength(B15,C15)*24</f>
        <v>12.233333333333333</v>
      </c>
      <c r="G15">
        <f t="shared" si="0"/>
        <v>4.7833333333333332</v>
      </c>
      <c r="H15" t="str" cm="1">
        <f t="array" ref="H15">ConvertDecimalToTime(F15)</f>
        <v>12:14</v>
      </c>
      <c r="I15">
        <f t="shared" si="1"/>
        <v>24</v>
      </c>
    </row>
    <row r="16" spans="1:9" x14ac:dyDescent="0.25">
      <c r="A16" s="1">
        <v>44916</v>
      </c>
      <c r="B16" s="2">
        <v>0.30208333333333331</v>
      </c>
      <c r="C16" s="5">
        <v>0.68958333333333333</v>
      </c>
      <c r="D16" t="s">
        <v>12</v>
      </c>
      <c r="E16" cm="1">
        <f t="array" ref="E16">HoursBetweenMidnightAndSunrise(B16)</f>
        <v>7.25</v>
      </c>
      <c r="F16" cm="1">
        <f t="array" ref="F16">DaylightLength(B16,C16)*24</f>
        <v>9.3000000000000007</v>
      </c>
      <c r="G16">
        <f t="shared" si="0"/>
        <v>7.4499999999999993</v>
      </c>
      <c r="H16" t="str" cm="1">
        <f t="array" ref="H16">ConvertDecimalToTime(F16)</f>
        <v>09:18</v>
      </c>
      <c r="I16">
        <f t="shared" si="1"/>
        <v>24</v>
      </c>
    </row>
    <row r="17" spans="1:9" x14ac:dyDescent="0.25">
      <c r="A17" s="1">
        <v>44947</v>
      </c>
      <c r="B17" s="2">
        <v>0.30069444444444443</v>
      </c>
      <c r="C17" s="5">
        <v>0.7090277777777777</v>
      </c>
      <c r="D17" t="s">
        <v>12</v>
      </c>
      <c r="E17" cm="1">
        <f t="array" ref="E17">HoursBetweenMidnightAndSunrise(B17)</f>
        <v>7.2166666666666668</v>
      </c>
      <c r="F17" cm="1">
        <f t="array" ref="F17">DaylightLength(B17,C17)*24</f>
        <v>9.7999999999999989</v>
      </c>
      <c r="G17">
        <f t="shared" si="0"/>
        <v>6.9833333333333325</v>
      </c>
      <c r="H17" t="str" cm="1">
        <f t="array" ref="H17">ConvertDecimalToTime(F17)</f>
        <v>09:48</v>
      </c>
      <c r="I17">
        <f t="shared" si="1"/>
        <v>24</v>
      </c>
    </row>
    <row r="18" spans="1:9" x14ac:dyDescent="0.25">
      <c r="A18" s="1">
        <v>44978</v>
      </c>
      <c r="B18" s="8">
        <v>0.27777777777777779</v>
      </c>
      <c r="C18" s="6">
        <v>0.73541666666666661</v>
      </c>
      <c r="D18" t="s">
        <v>12</v>
      </c>
      <c r="E18" cm="1">
        <f t="array" ref="E18">HoursBetweenMidnightAndSunrise(B18)</f>
        <v>6.666666666666667</v>
      </c>
      <c r="F18" cm="1">
        <f t="array" ref="F18">DaylightLength(B18,C18)*24</f>
        <v>10.983333333333331</v>
      </c>
      <c r="G18">
        <f t="shared" si="0"/>
        <v>6.3500000000000014</v>
      </c>
      <c r="H18" t="str" cm="1">
        <f t="array" ref="H18">ConvertDecimalToTime(F18)</f>
        <v>10:59</v>
      </c>
      <c r="I18">
        <f t="shared" si="1"/>
        <v>24</v>
      </c>
    </row>
    <row r="19" spans="1:9" x14ac:dyDescent="0.25">
      <c r="A19" s="1">
        <v>45005</v>
      </c>
      <c r="B19" s="2">
        <v>0.2902777777777778</v>
      </c>
      <c r="C19" s="7">
        <v>0.79791666666666661</v>
      </c>
      <c r="D19" t="s">
        <v>12</v>
      </c>
      <c r="E19" cm="1">
        <f t="array" ref="E19">HoursBetweenMidnightAndSunrise(B19)</f>
        <v>6.9666666666666668</v>
      </c>
      <c r="F19" cm="1">
        <f t="array" ref="F19">DaylightLength(B19,C19)*24</f>
        <v>12.18333333333333</v>
      </c>
      <c r="G19">
        <f t="shared" si="0"/>
        <v>4.8500000000000014</v>
      </c>
      <c r="H19" t="str" cm="1">
        <f t="array" ref="H19">ConvertDecimalToTime(F19)</f>
        <v>12:11</v>
      </c>
      <c r="I19">
        <f t="shared" si="1"/>
        <v>24</v>
      </c>
    </row>
    <row r="20" spans="1:9" x14ac:dyDescent="0.25">
      <c r="A20" s="1">
        <v>45037</v>
      </c>
      <c r="B20" s="2">
        <v>0.25486111111111109</v>
      </c>
      <c r="C20" s="5">
        <v>0.8208333333333333</v>
      </c>
      <c r="D20" t="s">
        <v>12</v>
      </c>
      <c r="E20" cm="1">
        <f t="array" ref="E20">HoursBetweenMidnightAndSunrise(B20)</f>
        <v>6.1166666666666663</v>
      </c>
      <c r="F20" cm="1">
        <f t="array" ref="F20">DaylightLength(B20,C20)*24</f>
        <v>13.583333333333332</v>
      </c>
      <c r="G20">
        <f t="shared" si="0"/>
        <v>4.3000000000000007</v>
      </c>
      <c r="H20" t="str" cm="1">
        <f t="array" ref="H20">ConvertDecimalToTime(F20)</f>
        <v>13:35</v>
      </c>
      <c r="I20">
        <f t="shared" si="1"/>
        <v>24</v>
      </c>
    </row>
    <row r="21" spans="1:9" x14ac:dyDescent="0.25">
      <c r="A21" s="1">
        <v>45067</v>
      </c>
      <c r="B21" s="2">
        <v>0.23055555555555554</v>
      </c>
      <c r="C21" s="5">
        <v>0.84236111111111101</v>
      </c>
      <c r="D21" t="s">
        <v>12</v>
      </c>
      <c r="E21" cm="1">
        <f t="array" ref="E21">HoursBetweenMidnightAndSunrise(B21)</f>
        <v>5.5333333333333332</v>
      </c>
      <c r="F21" cm="1">
        <f t="array" ref="F21">DaylightLength(B21,C21)*24</f>
        <v>14.683333333333332</v>
      </c>
      <c r="G21">
        <f t="shared" si="0"/>
        <v>3.7833333333333368</v>
      </c>
      <c r="H21" t="str" cm="1">
        <f t="array" ref="H21">ConvertDecimalToTime(F21)</f>
        <v>14:41</v>
      </c>
      <c r="I21">
        <f t="shared" si="1"/>
        <v>24</v>
      </c>
    </row>
    <row r="22" spans="1:9" x14ac:dyDescent="0.25">
      <c r="A22" s="1">
        <v>45098</v>
      </c>
      <c r="B22" s="2">
        <v>0.22430555555555556</v>
      </c>
      <c r="C22" s="9" t="s">
        <v>13</v>
      </c>
      <c r="D22" t="s">
        <v>12</v>
      </c>
      <c r="E22" cm="1">
        <f t="array" ref="E22">HoursBetweenMidnightAndSunrise(B22)</f>
        <v>5.3833333333333337</v>
      </c>
      <c r="F22" t="s">
        <v>15</v>
      </c>
      <c r="G22" t="e">
        <f t="shared" si="0"/>
        <v>#VALUE!</v>
      </c>
      <c r="H22" t="e" cm="1">
        <f t="array" ref="H22">ConvertDecimalToTime(F22)</f>
        <v>#VALUE!</v>
      </c>
      <c r="I22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4A54C-CFB1-41EE-9CF9-692D04D2565E}">
  <dimension ref="A3:C4"/>
  <sheetViews>
    <sheetView workbookViewId="0">
      <selection activeCell="A7" sqref="A7:XFD8"/>
    </sheetView>
  </sheetViews>
  <sheetFormatPr defaultRowHeight="15" x14ac:dyDescent="0.25"/>
  <cols>
    <col min="1" max="1" width="11.7109375" customWidth="1"/>
    <col min="2" max="2" width="12.140625" customWidth="1"/>
  </cols>
  <sheetData>
    <row r="3" spans="1:3" x14ac:dyDescent="0.25">
      <c r="A3" t="s">
        <v>14</v>
      </c>
      <c r="B3">
        <v>9.3000000000000007</v>
      </c>
      <c r="C3">
        <v>15.149999999999999</v>
      </c>
    </row>
    <row r="4" spans="1:3" x14ac:dyDescent="0.25">
      <c r="A4" t="s">
        <v>4</v>
      </c>
      <c r="B4">
        <v>5.9333333333333353</v>
      </c>
      <c r="C4">
        <v>19.05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6923-F711-4462-B064-04AD22AA6EED}">
  <sheetPr codeName="Sheet8"/>
  <dimension ref="A1:D8"/>
  <sheetViews>
    <sheetView workbookViewId="0">
      <selection sqref="A1:D8"/>
    </sheetView>
  </sheetViews>
  <sheetFormatPr defaultRowHeight="15" x14ac:dyDescent="0.25"/>
  <cols>
    <col min="1" max="1" width="11.42578125" customWidth="1"/>
  </cols>
  <sheetData>
    <row r="1" spans="1:4" x14ac:dyDescent="0.25">
      <c r="A1" t="s">
        <v>7</v>
      </c>
      <c r="B1" t="s">
        <v>10</v>
      </c>
      <c r="C1" t="s">
        <v>8</v>
      </c>
      <c r="D1" t="s">
        <v>9</v>
      </c>
    </row>
    <row r="2" spans="1:4" x14ac:dyDescent="0.25">
      <c r="A2" s="3">
        <v>44916</v>
      </c>
      <c r="B2">
        <v>9.3333333333333339</v>
      </c>
      <c r="C2">
        <v>5.9333333333333353</v>
      </c>
      <c r="D2">
        <v>8.7333333333333307</v>
      </c>
    </row>
    <row r="3" spans="1:4" x14ac:dyDescent="0.25">
      <c r="A3" s="4">
        <v>44947</v>
      </c>
      <c r="B3">
        <v>8.9333333333333336</v>
      </c>
      <c r="C3">
        <v>7.1666666666666652</v>
      </c>
      <c r="D3">
        <v>7.9000000000000012</v>
      </c>
    </row>
    <row r="4" spans="1:4" x14ac:dyDescent="0.25">
      <c r="A4" s="3">
        <v>44978</v>
      </c>
      <c r="B4">
        <v>7.6666666666666661</v>
      </c>
      <c r="C4">
        <v>9.7833333333333332</v>
      </c>
      <c r="D4">
        <v>6.5500000000000025</v>
      </c>
    </row>
    <row r="5" spans="1:4" x14ac:dyDescent="0.25">
      <c r="A5" s="4">
        <v>45005</v>
      </c>
      <c r="B5">
        <v>6.3333333333333339</v>
      </c>
      <c r="C5">
        <v>12.250000000000002</v>
      </c>
      <c r="D5">
        <v>5.4166666666666625</v>
      </c>
    </row>
    <row r="6" spans="1:4" x14ac:dyDescent="0.25">
      <c r="A6" s="3">
        <v>45037</v>
      </c>
      <c r="B6">
        <v>5.7166666666666668</v>
      </c>
      <c r="C6">
        <v>15.183333333333335</v>
      </c>
      <c r="D6">
        <v>3.0999999999999961</v>
      </c>
    </row>
    <row r="7" spans="1:4" x14ac:dyDescent="0.25">
      <c r="A7" s="4">
        <v>45067</v>
      </c>
      <c r="B7">
        <v>4.3999999999999995</v>
      </c>
      <c r="C7">
        <v>17.733333333333334</v>
      </c>
      <c r="D7">
        <v>1.8666666666666671</v>
      </c>
    </row>
    <row r="8" spans="1:4" x14ac:dyDescent="0.25">
      <c r="A8" s="3">
        <v>45098</v>
      </c>
      <c r="B8">
        <v>3.833333333333333</v>
      </c>
      <c r="C8">
        <v>19.05</v>
      </c>
      <c r="D8">
        <v>1.1166666666666671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DCE42-4D4F-4547-9D27-D962193E16AD}">
  <sheetPr codeName="Sheet9"/>
  <dimension ref="A1:D8"/>
  <sheetViews>
    <sheetView workbookViewId="0">
      <selection sqref="A1:D8"/>
    </sheetView>
  </sheetViews>
  <sheetFormatPr defaultRowHeight="15" x14ac:dyDescent="0.25"/>
  <cols>
    <col min="1" max="1" width="14.7109375" customWidth="1"/>
  </cols>
  <sheetData>
    <row r="1" spans="1:4" x14ac:dyDescent="0.25">
      <c r="A1" t="s">
        <v>7</v>
      </c>
      <c r="B1" t="s">
        <v>10</v>
      </c>
      <c r="C1" t="s">
        <v>8</v>
      </c>
      <c r="D1" t="s">
        <v>9</v>
      </c>
    </row>
    <row r="2" spans="1:4" x14ac:dyDescent="0.25">
      <c r="A2" s="3">
        <v>44916</v>
      </c>
      <c r="B2">
        <v>7.25</v>
      </c>
      <c r="C2">
        <v>9.3000000000000007</v>
      </c>
      <c r="D2">
        <v>7.4499999999999993</v>
      </c>
    </row>
    <row r="3" spans="1:4" x14ac:dyDescent="0.25">
      <c r="A3" s="4">
        <v>44947</v>
      </c>
      <c r="B3">
        <v>7.2166666666666668</v>
      </c>
      <c r="C3">
        <v>9.7999999999999989</v>
      </c>
      <c r="D3">
        <v>6.9833333333333325</v>
      </c>
    </row>
    <row r="4" spans="1:4" x14ac:dyDescent="0.25">
      <c r="A4" s="3">
        <v>44978</v>
      </c>
      <c r="B4">
        <v>6.666666666666667</v>
      </c>
      <c r="C4">
        <v>10.983333333333331</v>
      </c>
      <c r="D4">
        <v>6.3500000000000014</v>
      </c>
    </row>
    <row r="5" spans="1:4" x14ac:dyDescent="0.25">
      <c r="A5" s="4">
        <v>45005</v>
      </c>
      <c r="B5">
        <v>6.9666666666666668</v>
      </c>
      <c r="C5">
        <v>12.18333333333333</v>
      </c>
      <c r="D5">
        <v>4.8500000000000014</v>
      </c>
    </row>
    <row r="6" spans="1:4" x14ac:dyDescent="0.25">
      <c r="A6" s="3">
        <v>45037</v>
      </c>
      <c r="B6">
        <v>6.1166666666666663</v>
      </c>
      <c r="C6">
        <v>13.583333333333332</v>
      </c>
      <c r="D6">
        <v>4.3000000000000007</v>
      </c>
    </row>
    <row r="7" spans="1:4" x14ac:dyDescent="0.25">
      <c r="A7" s="4">
        <v>45067</v>
      </c>
      <c r="B7">
        <v>5.5333333333333332</v>
      </c>
      <c r="C7">
        <v>14.683333333333332</v>
      </c>
      <c r="D7">
        <v>3.7833333333333368</v>
      </c>
    </row>
    <row r="8" spans="1:4" x14ac:dyDescent="0.25">
      <c r="A8" s="3">
        <v>45098</v>
      </c>
      <c r="B8">
        <v>5.3833333333333337</v>
      </c>
      <c r="C8">
        <v>15.149999999999999</v>
      </c>
      <c r="D8">
        <v>3.4666666666666686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643D84-3C25-4DDF-B81F-CE3B7D0373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suntimes_combined</vt:lpstr>
      <vt:lpstr>Comparison</vt:lpstr>
      <vt:lpstr>Helsinki</vt:lpstr>
      <vt:lpstr>New York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Juhana</dc:creator>
  <cp:lastModifiedBy>Juhana</cp:lastModifiedBy>
  <dcterms:created xsi:type="dcterms:W3CDTF">2023-02-25T12:17:05Z</dcterms:created>
  <dcterms:modified xsi:type="dcterms:W3CDTF">2023-02-27T22:28:09Z</dcterms:modified>
</cp:coreProperties>
</file>